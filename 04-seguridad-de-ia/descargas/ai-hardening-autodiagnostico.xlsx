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todiagnóstico" sheetId="1" state="visible" r:id="rId3"/>
    <sheet name="Niveles" sheetId="2" state="visible" r:id="rId4"/>
    <sheet name="Mapeo marcos" sheetId="3" state="visible" r:id="rId5"/>
    <sheet name="Checklis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<sst xmlns="http://schemas.openxmlformats.org/spreadsheetml/2006/main" count="64" uniqueCount="59">
  <si>
    <t xml:space="preserve">Autodiagnóstico de madurez · AI Hardening</t>
  </si>
  <si>
    <t xml:space="preserve">CyberLibrary AI · ai.opentrust.group — Rellena solo la columna amarilla (Nivel 0–4). El resto se calcula solo.</t>
  </si>
  <si>
    <t xml:space="preserve">Dominio</t>
  </si>
  <si>
    <t xml:space="preserve">Nivel (0–4)</t>
  </si>
  <si>
    <t xml:space="preserve">Qué implica tu nivel</t>
  </si>
  <si>
    <t xml:space="preserve">Peso</t>
  </si>
  <si>
    <t xml:space="preserve">1 · Acceso a modelos</t>
  </si>
  <si>
    <t xml:space="preserve">2 · Protección de datos</t>
  </si>
  <si>
    <t xml:space="preserve">3 · Gobierno de IA</t>
  </si>
  <si>
    <t xml:space="preserve">4 · Hardening del modelo</t>
  </si>
  <si>
    <t xml:space="preserve">5 · Cadena de suministro</t>
  </si>
  <si>
    <t xml:space="preserve">6 · Monitorización</t>
  </si>
  <si>
    <t xml:space="preserve">7 · Infraestructura</t>
  </si>
  <si>
    <t xml:space="preserve">8 · Cumplimiento</t>
  </si>
  <si>
    <t xml:space="preserve">Madurez global (media ponderada)</t>
  </si>
  <si>
    <t xml:space="preserve">Nivel resultante</t>
  </si>
  <si>
    <t xml:space="preserve">Ejemplo: el dominio 1 viene relleno con nivel 2 como muestra del formato. Ajusta los 8 a tu realidad.</t>
  </si>
  <si>
    <t xml:space="preserve">Escala de madurez</t>
  </si>
  <si>
    <t xml:space="preserve">Nivel</t>
  </si>
  <si>
    <t xml:space="preserve">Qué caracteriza este nivel</t>
  </si>
  <si>
    <t xml:space="preserve">Umbral desde</t>
  </si>
  <si>
    <t xml:space="preserve">Etiqueta</t>
  </si>
  <si>
    <t xml:space="preserve">Sin controles. IA sin inventario, política ni visibilidad. Shadow AI generalizado.</t>
  </si>
  <si>
    <t xml:space="preserve">0 · Ausente</t>
  </si>
  <si>
    <t xml:space="preserve">Algún control aislado, sin baseline ni evidencia sistemática.</t>
  </si>
  <si>
    <t xml:space="preserve">1 · Inicial</t>
  </si>
  <si>
    <t xml:space="preserve">Política, inventario y controles definidos, pero aplicados de forma desigual.</t>
  </si>
  <si>
    <t xml:space="preserve">2 · Definido</t>
  </si>
  <si>
    <t xml:space="preserve">Controles en los 8 dominios con evidencia, métricas y revisión periódica.</t>
  </si>
  <si>
    <t xml:space="preserve">3 · Gestionado</t>
  </si>
  <si>
    <t xml:space="preserve">Hardening automatizado (política como código), integrado y auditado.</t>
  </si>
  <si>
    <t xml:space="preserve">4 · Optimizado</t>
  </si>
  <si>
    <t xml:space="preserve">Mapeo de dominios con marcos</t>
  </si>
  <si>
    <t xml:space="preserve">Marcos de referencia principales</t>
  </si>
  <si>
    <t xml:space="preserve">1 · Acceso</t>
  </si>
  <si>
    <t xml:space="preserve">ISO/IEC 42001 · ISO/IEC 27001 · NIST AI RMF (Manage)</t>
  </si>
  <si>
    <t xml:space="preserve">2 · Datos</t>
  </si>
  <si>
    <t xml:space="preserve">EU AI Act · ISO/IEC 27001 · Gobierno del dato</t>
  </si>
  <si>
    <t xml:space="preserve">3 · Gobierno</t>
  </si>
  <si>
    <t xml:space="preserve">ISO/IEC 42001 · NIST AI RMF (Govern)</t>
  </si>
  <si>
    <t xml:space="preserve">4 · Modelo</t>
  </si>
  <si>
    <t xml:space="preserve">OWASP LLM Top 10 · MITRE ATLAS · NIST AI RMF (Measure)</t>
  </si>
  <si>
    <t xml:space="preserve">OWASP LLM/Agentic · SBOM · NIST AI RMF (Map)</t>
  </si>
  <si>
    <t xml:space="preserve">ISO/IEC 27001 · NIST AI RMF (Manage)</t>
  </si>
  <si>
    <t xml:space="preserve">ISO/IEC 27001 · Arquitectura segura</t>
  </si>
  <si>
    <t xml:space="preserve">ISO/IEC 42001 · EU AI Act · NIST AI RMF</t>
  </si>
  <si>
    <t xml:space="preserve">Checklist maestro de AI Hardening</t>
  </si>
  <si>
    <t xml:space="preserve">Marca con una X la columna 'Hecho'. El % se calcula abajo.</t>
  </si>
  <si>
    <t xml:space="preserve">Control</t>
  </si>
  <si>
    <t xml:space="preserve">Hecho (X)</t>
  </si>
  <si>
    <t xml:space="preserve">Inventario vivo de modelos, agentes y usos</t>
  </si>
  <si>
    <t xml:space="preserve">MFA/SSO y gestión de claves en todos los accesos</t>
  </si>
  <si>
    <t xml:space="preserve">Clasificación y DLP aplicados al dato de IA</t>
  </si>
  <si>
    <t xml:space="preserve">Guardrails y validación de entrada/salida en producción</t>
  </si>
  <si>
    <t xml:space="preserve">SBOM y verificación de modelos y conectores</t>
  </si>
  <si>
    <t xml:space="preserve">Eventos de IA integrados en el SIEM</t>
  </si>
  <si>
    <t xml:space="preserve">Segmentación y aislamiento de ejecución</t>
  </si>
  <si>
    <t xml:space="preserve">Matriz de controles mapeada a marcos</t>
  </si>
  <si>
    <t xml:space="preserve">% completado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</si>
</sst>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E3350"/>
      <name val="Arial"/>
      <family val="0"/>
      <charset val="1"/>
    </font>
    <font>
      <i val="true"/>
      <sz val="10"/>
      <color rgb="FF5A6B7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3"/>
      <color rgb="FF0B6B9E"/>
      <name val="Arial"/>
      <family val="0"/>
      <charset val="1"/>
    </font>
    <font>
      <b val="true"/>
      <sz val="11"/>
      <color rgb="FF0B6B9E"/>
      <name val="Arial"/>
      <family val="0"/>
      <charset val="1"/>
    </font>
    <font>
      <i val="true"/>
      <sz val="9"/>
      <color rgb="FF8A97A5"/>
      <name val="Arial"/>
      <family val="0"/>
      <charset val="1"/>
    </font>
    <font>
      <b val="true"/>
      <sz val="13"/>
      <color rgb="FF0E335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E3350"/>
        <bgColor rgb="FF333333"/>
      </patternFill>
    </fill>
    <fill>
      <patternFill patternType="solid">
        <fgColor rgb="FFFFF6C7"/>
        <bgColor rgb="FFFFFF99"/>
      </patternFill>
    </fill>
    <fill>
      <patternFill patternType="solid">
        <fgColor rgb="FFEAF6F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4DE"/>
      </left>
      <right style="thin">
        <color rgb="FFC9D4DE"/>
      </right>
      <top style="thin">
        <color rgb="FFC9D4DE"/>
      </top>
      <bottom style="thin">
        <color rgb="FFC9D4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C7"/>
      <rgbColor rgb="FFEAF6FF"/>
      <rgbColor rgb="FF660066"/>
      <rgbColor rgb="FFFF8080"/>
      <rgbColor rgb="FF0B6B9E"/>
      <rgbColor rgb="FFC9D4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B7B"/>
      <rgbColor rgb="FF8A97A5"/>
      <rgbColor rgb="FF0E335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54"/>
    <col collapsed="false" customWidth="true" hidden="false" outlineLevel="0" max="4" min="4" style="0" width="8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26.85" hidden="false" customHeight="false" outlineLevel="0" collapsed="false">
      <c r="A5" s="4" t="s">
        <v>6</v>
      </c>
      <c r="B5" s="5" t="n">
        <v>2</v>
      </c>
      <c r="C5" s="6" t="str">
        <f aca="false">INDEX(Niveles!$B$4:$B$8,MATCH(B5,Niveles!$A$4:$A$8,0))</f>
        <v>Política, inventario y controles definidos, pero aplicados de forma desigual.</v>
      </c>
      <c r="D5" s="7" t="n">
        <v>1</v>
      </c>
    </row>
    <row r="6" customFormat="false" ht="26.85" hidden="false" customHeight="false" outlineLevel="0" collapsed="false">
      <c r="A6" s="4" t="s">
        <v>7</v>
      </c>
      <c r="B6" s="5" t="n">
        <v>0</v>
      </c>
      <c r="C6" s="6" t="str">
        <f aca="false">INDEX(Niveles!$B$4:$B$8,MATCH(B6,Niveles!$A$4:$A$8,0))</f>
        <v>Sin controles. IA sin inventario, política ni visibilidad. Shadow AI generalizado.</v>
      </c>
      <c r="D6" s="7" t="n">
        <v>1</v>
      </c>
    </row>
    <row r="7" customFormat="false" ht="26.85" hidden="false" customHeight="false" outlineLevel="0" collapsed="false">
      <c r="A7" s="4" t="s">
        <v>8</v>
      </c>
      <c r="B7" s="5" t="n">
        <v>0</v>
      </c>
      <c r="C7" s="6" t="str">
        <f aca="false">INDEX(Niveles!$B$4:$B$8,MATCH(B7,Niveles!$A$4:$A$8,0))</f>
        <v>Sin controles. IA sin inventario, política ni visibilidad. Shadow AI generalizado.</v>
      </c>
      <c r="D7" s="7" t="n">
        <v>1</v>
      </c>
    </row>
    <row r="8" customFormat="false" ht="26.85" hidden="false" customHeight="false" outlineLevel="0" collapsed="false">
      <c r="A8" s="4" t="s">
        <v>9</v>
      </c>
      <c r="B8" s="5" t="n">
        <v>0</v>
      </c>
      <c r="C8" s="6" t="str">
        <f aca="false">INDEX(Niveles!$B$4:$B$8,MATCH(B8,Niveles!$A$4:$A$8,0))</f>
        <v>Sin controles. IA sin inventario, política ni visibilidad. Shadow AI generalizado.</v>
      </c>
      <c r="D8" s="7" t="n">
        <v>1</v>
      </c>
    </row>
    <row r="9" customFormat="false" ht="26.85" hidden="false" customHeight="false" outlineLevel="0" collapsed="false">
      <c r="A9" s="4" t="s">
        <v>10</v>
      </c>
      <c r="B9" s="5" t="n">
        <v>0</v>
      </c>
      <c r="C9" s="6" t="str">
        <f aca="false">INDEX(Niveles!$B$4:$B$8,MATCH(B9,Niveles!$A$4:$A$8,0))</f>
        <v>Sin controles. IA sin inventario, política ni visibilidad. Shadow AI generalizado.</v>
      </c>
      <c r="D9" s="7" t="n">
        <v>1</v>
      </c>
    </row>
    <row r="10" customFormat="false" ht="26.85" hidden="false" customHeight="false" outlineLevel="0" collapsed="false">
      <c r="A10" s="4" t="s">
        <v>11</v>
      </c>
      <c r="B10" s="5" t="n">
        <v>0</v>
      </c>
      <c r="C10" s="6" t="str">
        <f aca="false">INDEX(Niveles!$B$4:$B$8,MATCH(B10,Niveles!$A$4:$A$8,0))</f>
        <v>Sin controles. IA sin inventario, política ni visibilidad. Shadow AI generalizado.</v>
      </c>
      <c r="D10" s="7" t="n">
        <v>1</v>
      </c>
    </row>
    <row r="11" customFormat="false" ht="26.85" hidden="false" customHeight="false" outlineLevel="0" collapsed="false">
      <c r="A11" s="4" t="s">
        <v>12</v>
      </c>
      <c r="B11" s="5" t="n">
        <v>0</v>
      </c>
      <c r="C11" s="6" t="str">
        <f aca="false">INDEX(Niveles!$B$4:$B$8,MATCH(B11,Niveles!$A$4:$A$8,0))</f>
        <v>Sin controles. IA sin inventario, política ni visibilidad. Shadow AI generalizado.</v>
      </c>
      <c r="D11" s="7" t="n">
        <v>1</v>
      </c>
    </row>
    <row r="12" customFormat="false" ht="26.85" hidden="false" customHeight="false" outlineLevel="0" collapsed="false">
      <c r="A12" s="4" t="s">
        <v>13</v>
      </c>
      <c r="B12" s="5" t="n">
        <v>0</v>
      </c>
      <c r="C12" s="6" t="str">
        <f aca="false">INDEX(Niveles!$B$4:$B$8,MATCH(B12,Niveles!$A$4:$A$8,0))</f>
        <v>Sin controles. IA sin inventario, política ni visibilidad. Shadow AI generalizado.</v>
      </c>
      <c r="D12" s="7" t="n">
        <v>1</v>
      </c>
    </row>
    <row r="14" customFormat="false" ht="16.15" hidden="false" customHeight="false" outlineLevel="0" collapsed="false">
      <c r="A14" s="8" t="s">
        <v>14</v>
      </c>
      <c r="B14" s="9" t="n">
        <f aca="false">SUMPRODUCT(B5:B12,D5:D12)/SUM(D5:D12)</f>
        <v>0.25</v>
      </c>
    </row>
    <row r="15" customFormat="false" ht="15" hidden="false" customHeight="false" outlineLevel="0" collapsed="false">
      <c r="A15" s="8" t="s">
        <v>15</v>
      </c>
      <c r="B15" s="10" t="str">
        <f aca="false">INDEX(Niveles!$D$4:$D$8,MATCH(B14,Niveles!$C$4:$C$8,1))</f>
        <v>0 · Ausente</v>
      </c>
    </row>
    <row r="17" customFormat="false" ht="15" hidden="false" customHeight="false" outlineLevel="0" collapsed="false">
      <c r="A17" s="11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6"/>
    <col collapsed="false" customWidth="true" hidden="false" outlineLevel="0" max="3" min="3" style="0" width="14"/>
    <col collapsed="false" customWidth="true" hidden="false" outlineLevel="0" max="4" min="4" style="0" width="18"/>
  </cols>
  <sheetData>
    <row r="1" customFormat="false" ht="16.15" hidden="false" customHeight="false" outlineLevel="0" collapsed="false">
      <c r="A1" s="12" t="s">
        <v>17</v>
      </c>
    </row>
    <row r="3" customFormat="false" ht="15" hidden="false" customHeight="false" outlineLevel="0" collapsed="false">
      <c r="A3" s="3" t="s">
        <v>18</v>
      </c>
      <c r="B3" s="3" t="s">
        <v>19</v>
      </c>
      <c r="C3" s="3" t="s">
        <v>20</v>
      </c>
      <c r="D3" s="3" t="s">
        <v>21</v>
      </c>
    </row>
    <row r="4" customFormat="false" ht="26.85" hidden="false" customHeight="false" outlineLevel="0" collapsed="false">
      <c r="A4" s="13" t="n">
        <v>0</v>
      </c>
      <c r="B4" s="6" t="s">
        <v>22</v>
      </c>
      <c r="C4" s="7" t="n">
        <v>0</v>
      </c>
      <c r="D4" s="14" t="s">
        <v>23</v>
      </c>
    </row>
    <row r="5" customFormat="false" ht="15" hidden="false" customHeight="false" outlineLevel="0" collapsed="false">
      <c r="A5" s="13" t="n">
        <v>1</v>
      </c>
      <c r="B5" s="6" t="s">
        <v>24</v>
      </c>
      <c r="C5" s="7" t="n">
        <v>0.75</v>
      </c>
      <c r="D5" s="14" t="s">
        <v>25</v>
      </c>
    </row>
    <row r="6" customFormat="false" ht="26.85" hidden="false" customHeight="false" outlineLevel="0" collapsed="false">
      <c r="A6" s="13" t="n">
        <v>2</v>
      </c>
      <c r="B6" s="6" t="s">
        <v>26</v>
      </c>
      <c r="C6" s="7" t="n">
        <v>1.5</v>
      </c>
      <c r="D6" s="14" t="s">
        <v>27</v>
      </c>
    </row>
    <row r="7" customFormat="false" ht="26.85" hidden="false" customHeight="false" outlineLevel="0" collapsed="false">
      <c r="A7" s="13" t="n">
        <v>3</v>
      </c>
      <c r="B7" s="6" t="s">
        <v>28</v>
      </c>
      <c r="C7" s="7" t="n">
        <v>2.5</v>
      </c>
      <c r="D7" s="14" t="s">
        <v>29</v>
      </c>
    </row>
    <row r="8" customFormat="false" ht="15" hidden="false" customHeight="false" outlineLevel="0" collapsed="false">
      <c r="A8" s="13" t="n">
        <v>4</v>
      </c>
      <c r="B8" s="6" t="s">
        <v>30</v>
      </c>
      <c r="C8" s="7" t="n">
        <v>3.5</v>
      </c>
      <c r="D8" s="14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0"/>
  </cols>
  <sheetData>
    <row r="1" customFormat="false" ht="16.15" hidden="false" customHeight="false" outlineLevel="0" collapsed="false">
      <c r="A1" s="12" t="s">
        <v>32</v>
      </c>
    </row>
    <row r="3" customFormat="false" ht="15" hidden="false" customHeight="false" outlineLevel="0" collapsed="false">
      <c r="A3" s="3" t="s">
        <v>2</v>
      </c>
      <c r="B3" s="3" t="s">
        <v>33</v>
      </c>
    </row>
    <row r="4" customFormat="false" ht="15" hidden="false" customHeight="false" outlineLevel="0" collapsed="false">
      <c r="A4" s="14" t="s">
        <v>34</v>
      </c>
      <c r="B4" s="6" t="s">
        <v>35</v>
      </c>
    </row>
    <row r="5" customFormat="false" ht="15" hidden="false" customHeight="false" outlineLevel="0" collapsed="false">
      <c r="A5" s="14" t="s">
        <v>36</v>
      </c>
      <c r="B5" s="6" t="s">
        <v>37</v>
      </c>
    </row>
    <row r="6" customFormat="false" ht="15" hidden="false" customHeight="false" outlineLevel="0" collapsed="false">
      <c r="A6" s="14" t="s">
        <v>38</v>
      </c>
      <c r="B6" s="6" t="s">
        <v>39</v>
      </c>
    </row>
    <row r="7" customFormat="false" ht="15" hidden="false" customHeight="false" outlineLevel="0" collapsed="false">
      <c r="A7" s="14" t="s">
        <v>40</v>
      </c>
      <c r="B7" s="6" t="s">
        <v>41</v>
      </c>
    </row>
    <row r="8" customFormat="false" ht="15" hidden="false" customHeight="false" outlineLevel="0" collapsed="false">
      <c r="A8" s="14" t="s">
        <v>10</v>
      </c>
      <c r="B8" s="6" t="s">
        <v>42</v>
      </c>
    </row>
    <row r="9" customFormat="false" ht="15" hidden="false" customHeight="false" outlineLevel="0" collapsed="false">
      <c r="A9" s="14" t="s">
        <v>11</v>
      </c>
      <c r="B9" s="6" t="s">
        <v>43</v>
      </c>
    </row>
    <row r="10" customFormat="false" ht="15" hidden="false" customHeight="false" outlineLevel="0" collapsed="false">
      <c r="A10" s="14" t="s">
        <v>12</v>
      </c>
      <c r="B10" s="6" t="s">
        <v>44</v>
      </c>
    </row>
    <row r="11" customFormat="false" ht="15" hidden="false" customHeight="false" outlineLevel="0" collapsed="false">
      <c r="A11" s="14" t="s">
        <v>13</v>
      </c>
      <c r="B11" s="6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2"/>
  </cols>
  <sheetData>
    <row r="1" customFormat="false" ht="16.15" hidden="false" customHeight="false" outlineLevel="0" collapsed="false">
      <c r="A1" s="12" t="s">
        <v>46</v>
      </c>
    </row>
    <row r="2" customFormat="false" ht="15" hidden="false" customHeight="false" outlineLevel="0" collapsed="false">
      <c r="A2" s="2" t="s">
        <v>47</v>
      </c>
    </row>
    <row r="3" customFormat="false" ht="15" hidden="false" customHeight="false" outlineLevel="0" collapsed="false">
      <c r="A3" s="3" t="s">
        <v>48</v>
      </c>
      <c r="B3" s="3" t="s">
        <v>49</v>
      </c>
    </row>
    <row r="4" customFormat="false" ht="15" hidden="false" customHeight="false" outlineLevel="0" collapsed="false">
      <c r="A4" s="6" t="s">
        <v>50</v>
      </c>
      <c r="B4" s="15"/>
    </row>
    <row r="5" customFormat="false" ht="15" hidden="false" customHeight="false" outlineLevel="0" collapsed="false">
      <c r="A5" s="6" t="s">
        <v>51</v>
      </c>
      <c r="B5" s="15"/>
    </row>
    <row r="6" customFormat="false" ht="15" hidden="false" customHeight="false" outlineLevel="0" collapsed="false">
      <c r="A6" s="6" t="s">
        <v>52</v>
      </c>
      <c r="B6" s="15"/>
    </row>
    <row r="7" customFormat="false" ht="15" hidden="false" customHeight="false" outlineLevel="0" collapsed="false">
      <c r="A7" s="6" t="s">
        <v>53</v>
      </c>
      <c r="B7" s="15"/>
    </row>
    <row r="8" customFormat="false" ht="15" hidden="false" customHeight="false" outlineLevel="0" collapsed="false">
      <c r="A8" s="6" t="s">
        <v>54</v>
      </c>
      <c r="B8" s="15"/>
    </row>
    <row r="9" customFormat="false" ht="15" hidden="false" customHeight="false" outlineLevel="0" collapsed="false">
      <c r="A9" s="6" t="s">
        <v>55</v>
      </c>
      <c r="B9" s="15"/>
    </row>
    <row r="10" customFormat="false" ht="15" hidden="false" customHeight="false" outlineLevel="0" collapsed="false">
      <c r="A10" s="6" t="s">
        <v>56</v>
      </c>
      <c r="B10" s="15"/>
    </row>
    <row r="11" customFormat="false" ht="15" hidden="false" customHeight="false" outlineLevel="0" collapsed="false">
      <c r="A11" s="6" t="s">
        <v>57</v>
      </c>
      <c r="B11" s="15"/>
    </row>
    <row r="13" customFormat="false" ht="15" hidden="false" customHeight="false" outlineLevel="0" collapsed="false">
      <c r="A13" s="8" t="s">
        <v>58</v>
      </c>
      <c r="B13" s="16" t="n">
        <f aca="false">COUNTIF(B4:B12,"X")/COUNTA(A4:A11)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2026-07-18T04:50:41Z</dcterms:created>
  <dc:creator>openpyxl</dc:creator>
  <dc:description/>
  <dc:language>en-US</dc:language>
  <cp:lastModifiedBy/>
  <dcterms:modified xsi:type="dcterms:W3CDTF">2026-07-18T04:50:41Z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